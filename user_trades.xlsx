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封面" sheetId="1" state="visible" r:id="rId2"/>
    <sheet name="持仓汇总" sheetId="2" state="visible" r:id="rId3"/>
    <sheet name="AI创业板" sheetId="3" state="visible" r:id="rId4"/>
    <sheet name="机器人" sheetId="4" state="visible" r:id="rId5"/>
    <sheet name="科创智能" sheetId="5" state="visible" r:id="rId6"/>
    <sheet name="互联中概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<sst xmlns="http://schemas.openxmlformats.org/spreadsheetml/2006/main" count="209" uniqueCount="82">
  <si>
    <r>
      <rPr>
        <b val="true"/>
        <sz val="22"/>
        <color rgb="FF122B49"/>
        <rFont val="Arial"/>
        <family val="0"/>
        <charset val="1"/>
      </rPr>
      <t xml:space="preserve">ETF</t>
    </r>
    <r>
      <rPr>
        <b val="true"/>
        <sz val="22"/>
        <color rgb="FF122B49"/>
        <rFont val="Noto Sans CJK SC"/>
        <family val="2"/>
      </rPr>
      <t xml:space="preserve">持仓与交易记录汇总</t>
    </r>
  </si>
  <si>
    <t xml:space="preserve">数据整理日期：2026年6月19日</t>
  </si>
  <si>
    <t xml:space="preserve">持仓概览</t>
  </si>
  <si>
    <r>
      <rPr>
        <b val="true"/>
        <sz val="10"/>
        <color rgb="FFFFFFFF"/>
        <rFont val="Arial"/>
        <family val="0"/>
        <charset val="1"/>
      </rPr>
      <t xml:space="preserve">ETF</t>
    </r>
    <r>
      <rPr>
        <b val="true"/>
        <sz val="10"/>
        <color rgb="FFFFFFFF"/>
        <rFont val="Noto Sans CJK SC"/>
        <family val="2"/>
      </rPr>
      <t xml:space="preserve">名称</t>
    </r>
  </si>
  <si>
    <t xml:space="preserve">代码</t>
  </si>
  <si>
    <t xml:space="preserve">持仓盈亏</t>
  </si>
  <si>
    <t xml:space="preserve">盈亏比例</t>
  </si>
  <si>
    <t xml:space="preserve">持股天数</t>
  </si>
  <si>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创业板</t>
    </r>
  </si>
  <si>
    <t xml:space="preserve">159382</t>
  </si>
  <si>
    <t xml:space="preserve">33.279%</t>
  </si>
  <si>
    <t xml:space="preserve">机器人</t>
  </si>
  <si>
    <t xml:space="preserve">562500</t>
  </si>
  <si>
    <t xml:space="preserve">69.565%</t>
  </si>
  <si>
    <t xml:space="preserve">科创智能</t>
  </si>
  <si>
    <t xml:space="preserve">588790</t>
  </si>
  <si>
    <t xml:space="preserve">0.000%</t>
  </si>
  <si>
    <t xml:space="preserve">互联中概</t>
  </si>
  <si>
    <t xml:space="preserve">159605</t>
  </si>
  <si>
    <t xml:space="preserve">0.73%</t>
  </si>
  <si>
    <t xml:space="preserve">合计</t>
  </si>
  <si>
    <t xml:space="preserve">工作表索引</t>
  </si>
  <si>
    <t xml:space="preserve">工作表名称</t>
  </si>
  <si>
    <t xml:space="preserve">内容说明</t>
  </si>
  <si>
    <t xml:space="preserve">封面</t>
  </si>
  <si>
    <r>
      <rPr>
        <sz val="10"/>
        <color rgb="FF000000"/>
        <rFont val="Arial"/>
        <family val="0"/>
        <charset val="1"/>
      </rPr>
      <t xml:space="preserve">ETF</t>
    </r>
    <r>
      <rPr>
        <sz val="10"/>
        <color rgb="FF000000"/>
        <rFont val="Noto Sans CJK SC"/>
        <family val="2"/>
      </rPr>
      <t xml:space="preserve">持仓概览与工作表索引</t>
    </r>
  </si>
  <si>
    <t xml:space="preserve">持仓汇总</t>
  </si>
  <si>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只</t>
    </r>
    <r>
      <rPr>
        <sz val="10"/>
        <color rgb="FF000000"/>
        <rFont val="Arial"/>
        <family val="0"/>
        <charset val="1"/>
      </rPr>
      <t xml:space="preserve">ETF</t>
    </r>
    <r>
      <rPr>
        <sz val="10"/>
        <color rgb="FF000000"/>
        <rFont val="Noto Sans CJK SC"/>
        <family val="2"/>
      </rPr>
      <t xml:space="preserve">的持仓详细信息汇总</t>
    </r>
  </si>
  <si>
    <r>
      <rPr>
        <b val="true"/>
        <sz val="10"/>
        <color rgb="FF1F4E79"/>
        <rFont val="Arial"/>
        <family val="0"/>
        <charset val="1"/>
      </rPr>
      <t xml:space="preserve">AI</t>
    </r>
    <r>
      <rPr>
        <b val="true"/>
        <sz val="10"/>
        <color rgb="FF1F4E79"/>
        <rFont val="Noto Sans CJK SC"/>
        <family val="2"/>
      </rPr>
      <t xml:space="preserve">创业板</t>
    </r>
  </si>
  <si>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创业板</t>
    </r>
    <r>
      <rPr>
        <sz val="10"/>
        <color rgb="FF000000"/>
        <rFont val="Arial"/>
        <family val="0"/>
        <charset val="1"/>
      </rPr>
      <t xml:space="preserve">(159382)</t>
    </r>
    <r>
      <rPr>
        <sz val="10"/>
        <color rgb="FF000000"/>
        <rFont val="Noto Sans CJK SC"/>
        <family val="2"/>
      </rPr>
      <t xml:space="preserve">的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条交易记录</t>
    </r>
  </si>
  <si>
    <t xml:space="preserve">机器人(562500)的21条交易记录</t>
  </si>
  <si>
    <t xml:space="preserve">科创智能(588790)的9条交易记录</t>
  </si>
  <si>
    <t xml:space="preserve">互联中概(159605)的39条交易记录</t>
  </si>
  <si>
    <t xml:space="preserve">说明：数据来源于东方财富持仓明细截图，盈亏颜色遵循中国大陆股市惯例（红涨绿跌）。</t>
  </si>
  <si>
    <r>
      <rPr>
        <b val="true"/>
        <sz val="16"/>
        <color rgb="FF122B49"/>
        <rFont val="Arial"/>
        <family val="0"/>
        <charset val="1"/>
      </rPr>
      <t xml:space="preserve">ETF</t>
    </r>
    <r>
      <rPr>
        <b val="true"/>
        <sz val="16"/>
        <color rgb="FF122B49"/>
        <rFont val="Noto Sans CJK SC"/>
        <family val="2"/>
      </rPr>
      <t xml:space="preserve">持仓汇总表</t>
    </r>
  </si>
  <si>
    <t xml:space="preserve">持仓盈亏(¥)</t>
  </si>
  <si>
    <t xml:space="preserve">现价(¥)</t>
  </si>
  <si>
    <t xml:space="preserve">个股仓位</t>
  </si>
  <si>
    <t xml:space="preserve">成本价(¥)</t>
  </si>
  <si>
    <t xml:space="preserve">税费合计(¥)</t>
  </si>
  <si>
    <t xml:space="preserve">买入均价(¥)</t>
  </si>
  <si>
    <r>
      <rPr>
        <sz val="10"/>
        <color rgb="FF000000"/>
        <rFont val="Arial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创业板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创业板人工智能</t>
    </r>
    <r>
      <rPr>
        <sz val="10"/>
        <color rgb="FF000000"/>
        <rFont val="Arial"/>
        <family val="0"/>
        <charset val="1"/>
      </rPr>
      <t xml:space="preserve">ETF</t>
    </r>
    <r>
      <rPr>
        <sz val="10"/>
        <color rgb="FF000000"/>
        <rFont val="Noto Sans CJK SC"/>
        <family val="2"/>
      </rPr>
      <t xml:space="preserve">南方</t>
    </r>
    <r>
      <rPr>
        <sz val="10"/>
        <color rgb="FF000000"/>
        <rFont val="Arial"/>
        <family val="0"/>
        <charset val="1"/>
      </rPr>
      <t xml:space="preserve">)</t>
    </r>
  </si>
  <si>
    <t xml:space="preserve">4.53%</t>
  </si>
  <si>
    <t xml:space="preserve">机器人(机器人ETF华夏)</t>
  </si>
  <si>
    <t xml:space="preserve">3.23%</t>
  </si>
  <si>
    <t xml:space="preserve">科创智能(科创AIETF博时)</t>
  </si>
  <si>
    <t xml:space="preserve">1.32%</t>
  </si>
  <si>
    <t xml:space="preserve">互联中概(互联中概)</t>
  </si>
  <si>
    <r>
      <rPr>
        <b val="true"/>
        <sz val="16"/>
        <color rgb="FF122B49"/>
        <rFont val="Arial"/>
        <family val="0"/>
        <charset val="1"/>
      </rPr>
      <t xml:space="preserve">AI</t>
    </r>
    <r>
      <rPr>
        <b val="true"/>
        <sz val="16"/>
        <color rgb="FF122B49"/>
        <rFont val="Noto Sans CJK SC"/>
        <family val="2"/>
      </rPr>
      <t xml:space="preserve">创业板 </t>
    </r>
    <r>
      <rPr>
        <b val="true"/>
        <sz val="16"/>
        <color rgb="FF122B49"/>
        <rFont val="Arial"/>
        <family val="0"/>
        <charset val="1"/>
      </rPr>
      <t xml:space="preserve">(159382) - </t>
    </r>
    <r>
      <rPr>
        <b val="true"/>
        <sz val="16"/>
        <color rgb="FF122B49"/>
        <rFont val="Noto Sans CJK SC"/>
        <family val="2"/>
      </rPr>
      <t xml:space="preserve">交易记录</t>
    </r>
  </si>
  <si>
    <t xml:space="preserve">创业板人工智能ETF南方 | 持仓盈亏: ¥81.92 (33.279%) | 持股天数: 59 | 现价: ¥3.280</t>
  </si>
  <si>
    <t xml:space="preserve">序号</t>
  </si>
  <si>
    <t xml:space="preserve">操作</t>
  </si>
  <si>
    <t xml:space="preserve">交易时间</t>
  </si>
  <si>
    <t xml:space="preserve">数量</t>
  </si>
  <si>
    <t xml:space="preserve">价格(¥)</t>
  </si>
  <si>
    <t xml:space="preserve">金额(¥)</t>
  </si>
  <si>
    <t xml:space="preserve">费用(¥)</t>
  </si>
  <si>
    <t xml:space="preserve">卖出</t>
  </si>
  <si>
    <t xml:space="preserve">买入</t>
  </si>
  <si>
    <t xml:space="preserve">建仓-买入</t>
  </si>
  <si>
    <t xml:space="preserve">机器人 (562500) - 交易记录</t>
  </si>
  <si>
    <t xml:space="preserve">机器人ETF华夏 | 持仓盈亏: ¥96.02 (69.565%) | 持股天数: 109 | 现价: ¥1.170</t>
  </si>
  <si>
    <r>
      <rPr>
        <b val="true"/>
        <sz val="16"/>
        <color rgb="FF122B49"/>
        <rFont val="Noto Sans CJK SC"/>
        <family val="2"/>
      </rPr>
      <t xml:space="preserve">科创智能 </t>
    </r>
    <r>
      <rPr>
        <b val="true"/>
        <sz val="16"/>
        <color rgb="FF122B49"/>
        <rFont val="Arial"/>
        <family val="0"/>
        <charset val="1"/>
      </rPr>
      <t xml:space="preserve">(588790) - </t>
    </r>
    <r>
      <rPr>
        <b val="true"/>
        <sz val="16"/>
        <color rgb="FF122B49"/>
        <rFont val="Noto Sans CJK SC"/>
        <family val="2"/>
      </rPr>
      <t xml:space="preserve">交易记录</t>
    </r>
  </si>
  <si>
    <r>
      <rPr>
        <sz val="10"/>
        <color rgb="FF666666"/>
        <rFont val="Noto Sans CJK SC"/>
        <family val="2"/>
      </rPr>
      <t xml:space="preserve">科创</t>
    </r>
    <r>
      <rPr>
        <sz val="10"/>
        <color rgb="FF666666"/>
        <rFont val="Arial"/>
        <family val="0"/>
        <charset val="1"/>
      </rPr>
      <t xml:space="preserve">AIETF</t>
    </r>
    <r>
      <rPr>
        <sz val="10"/>
        <color rgb="FF666666"/>
        <rFont val="Noto Sans CJK SC"/>
        <family val="2"/>
      </rPr>
      <t xml:space="preserve">博时 </t>
    </r>
    <r>
      <rPr>
        <sz val="10"/>
        <color rgb="FF666666"/>
        <rFont val="Arial"/>
        <family val="0"/>
        <charset val="1"/>
      </rPr>
      <t xml:space="preserve">| </t>
    </r>
    <r>
      <rPr>
        <sz val="10"/>
        <color rgb="FF666666"/>
        <rFont val="Noto Sans CJK SC"/>
        <family val="2"/>
      </rPr>
      <t xml:space="preserve">持仓盈亏</t>
    </r>
    <r>
      <rPr>
        <sz val="10"/>
        <color rgb="FF666666"/>
        <rFont val="Arial"/>
        <family val="0"/>
        <charset val="1"/>
      </rPr>
      <t xml:space="preserve">: ¥216.99 (0.000%) | </t>
    </r>
    <r>
      <rPr>
        <sz val="10"/>
        <color rgb="FF666666"/>
        <rFont val="Noto Sans CJK SC"/>
        <family val="2"/>
      </rPr>
      <t xml:space="preserve">持股天数</t>
    </r>
    <r>
      <rPr>
        <sz val="10"/>
        <color rgb="FF666666"/>
        <rFont val="Arial"/>
        <family val="0"/>
        <charset val="1"/>
      </rPr>
      <t xml:space="preserve">: 225 | </t>
    </r>
    <r>
      <rPr>
        <sz val="10"/>
        <color rgb="FF666666"/>
        <rFont val="Noto Sans CJK SC"/>
        <family val="2"/>
      </rPr>
      <t xml:space="preserve">现价</t>
    </r>
    <r>
      <rPr>
        <sz val="10"/>
        <color rgb="FF666666"/>
        <rFont val="Arial"/>
        <family val="0"/>
        <charset val="1"/>
      </rPr>
      <t xml:space="preserve">: ¥0.958</t>
    </r>
  </si>
  <si>
    <r>
      <rPr>
        <b val="true"/>
        <sz val="10"/>
        <color rgb="FFFFFFFF"/>
        <rFont val="Noto Sans CJK SC"/>
        <family val="2"/>
      </rPr>
      <t xml:space="preserve">价格</t>
    </r>
    <r>
      <rPr>
        <b val="true"/>
        <sz val="10"/>
        <color rgb="FFFFFFFF"/>
        <rFont val="Arial"/>
        <family val="0"/>
        <charset val="1"/>
      </rPr>
      <t xml:space="preserve">(¥)</t>
    </r>
  </si>
  <si>
    <r>
      <rPr>
        <b val="true"/>
        <sz val="10"/>
        <color rgb="FFFFFFFF"/>
        <rFont val="Noto Sans CJK SC"/>
        <family val="2"/>
      </rPr>
      <t xml:space="preserve">金额</t>
    </r>
    <r>
      <rPr>
        <b val="true"/>
        <sz val="10"/>
        <color rgb="FFFFFFFF"/>
        <rFont val="Arial"/>
        <family val="0"/>
        <charset val="1"/>
      </rPr>
      <t xml:space="preserve">(¥)</t>
    </r>
  </si>
  <si>
    <r>
      <rPr>
        <b val="true"/>
        <sz val="10"/>
        <color rgb="FFFFFFFF"/>
        <rFont val="Noto Sans CJK SC"/>
        <family val="2"/>
      </rPr>
      <t xml:space="preserve">费用</t>
    </r>
    <r>
      <rPr>
        <b val="true"/>
        <sz val="10"/>
        <color rgb="FFFFFFFF"/>
        <rFont val="Arial"/>
        <family val="0"/>
        <charset val="1"/>
      </rPr>
      <t xml:space="preserve">(¥)</t>
    </r>
  </si>
  <si>
    <r>
      <rPr>
        <sz val="10"/>
        <color rgb="FFCC0000"/>
        <rFont val="Noto Sans CJK SC"/>
        <family val="2"/>
      </rPr>
      <t xml:space="preserve">建仓</t>
    </r>
    <r>
      <rPr>
        <sz val="10"/>
        <color rgb="FFCC0000"/>
        <rFont val="Arial"/>
        <family val="0"/>
        <charset val="1"/>
      </rPr>
      <t xml:space="preserve">-</t>
    </r>
    <r>
      <rPr>
        <sz val="10"/>
        <color rgb="FFCC0000"/>
        <rFont val="Noto Sans CJK SC"/>
        <family val="2"/>
      </rPr>
      <t xml:space="preserve">买入</t>
    </r>
  </si>
  <si>
    <r>
      <rPr>
        <b val="true"/>
        <sz val="16"/>
        <color rgb="FF122B49"/>
        <rFont val="Noto Sans CJK SC"/>
        <family val="2"/>
      </rPr>
      <t xml:space="preserve">互联中概 </t>
    </r>
    <r>
      <rPr>
        <b val="true"/>
        <sz val="16"/>
        <color rgb="FF122B49"/>
        <rFont val="Arial"/>
        <family val="0"/>
        <charset val="1"/>
      </rPr>
      <t xml:space="preserve">(159605) - </t>
    </r>
    <r>
      <rPr>
        <b val="true"/>
        <sz val="16"/>
        <color rgb="FF122B49"/>
        <rFont val="Noto Sans CJK SC"/>
        <family val="2"/>
      </rPr>
      <t xml:space="preserve">交易记录</t>
    </r>
  </si>
  <si>
    <r>
      <rPr>
        <sz val="10"/>
        <color rgb="FF666666"/>
        <rFont val="Noto Sans CJK SC"/>
        <family val="2"/>
      </rPr>
      <t xml:space="preserve">至今清仓盈亏</t>
    </r>
    <r>
      <rPr>
        <sz val="10"/>
        <color rgb="FF666666"/>
        <rFont val="Arial"/>
        <family val="0"/>
        <charset val="1"/>
      </rPr>
      <t xml:space="preserve">: ¥43.73 (0.73%) | </t>
    </r>
    <r>
      <rPr>
        <sz val="10"/>
        <color rgb="FF666666"/>
        <rFont val="Noto Sans CJK SC"/>
        <family val="2"/>
      </rPr>
      <t xml:space="preserve">交易次数</t>
    </r>
    <r>
      <rPr>
        <sz val="10"/>
        <color rgb="FF666666"/>
        <rFont val="Arial"/>
        <family val="0"/>
        <charset val="1"/>
      </rPr>
      <t xml:space="preserve">: 39 | </t>
    </r>
    <r>
      <rPr>
        <sz val="10"/>
        <color rgb="FF666666"/>
        <rFont val="Noto Sans CJK SC"/>
        <family val="2"/>
      </rPr>
      <t xml:space="preserve">清仓次数</t>
    </r>
    <r>
      <rPr>
        <sz val="10"/>
        <color rgb="FF666666"/>
        <rFont val="Arial"/>
        <family val="0"/>
        <charset val="1"/>
      </rPr>
      <t xml:space="preserve">: 3 | </t>
    </r>
    <r>
      <rPr>
        <sz val="10"/>
        <color rgb="FF666666"/>
        <rFont val="Noto Sans CJK SC"/>
        <family val="2"/>
      </rPr>
      <t xml:space="preserve">成功率</t>
    </r>
    <r>
      <rPr>
        <sz val="10"/>
        <color rgb="FF666666"/>
        <rFont val="Arial"/>
        <family val="0"/>
        <charset val="1"/>
      </rPr>
      <t xml:space="preserve">: 100%</t>
    </r>
  </si>
  <si>
    <r>
      <rPr>
        <sz val="10"/>
        <color rgb="FF009900"/>
        <rFont val="Noto Sans CJK SC"/>
        <family val="2"/>
      </rPr>
      <t xml:space="preserve">清仓</t>
    </r>
    <r>
      <rPr>
        <sz val="10"/>
        <color rgb="FF009900"/>
        <rFont val="Arial"/>
        <family val="0"/>
        <charset val="1"/>
      </rPr>
      <t xml:space="preserve">(</t>
    </r>
    <r>
      <rPr>
        <sz val="10"/>
        <color rgb="FF009900"/>
        <rFont val="Noto Sans CJK SC"/>
        <family val="2"/>
      </rPr>
      <t xml:space="preserve">卖出</t>
    </r>
    <r>
      <rPr>
        <sz val="10"/>
        <color rgb="FF009900"/>
        <rFont val="Arial"/>
        <family val="0"/>
        <charset val="1"/>
      </rPr>
      <t xml:space="preserve">)</t>
    </r>
  </si>
  <si>
    <t xml:space="preserve">2025-10-30</t>
  </si>
  <si>
    <t xml:space="preserve">2025-10-29</t>
  </si>
  <si>
    <r>
      <rPr>
        <sz val="10"/>
        <color rgb="FFCC0000"/>
        <rFont val="Noto Sans CJK SC"/>
        <family val="2"/>
      </rPr>
      <t xml:space="preserve">建仓</t>
    </r>
    <r>
      <rPr>
        <sz val="10"/>
        <color rgb="FFCC0000"/>
        <rFont val="Arial"/>
        <family val="0"/>
        <charset val="1"/>
      </rPr>
      <t xml:space="preserve">(</t>
    </r>
    <r>
      <rPr>
        <sz val="10"/>
        <color rgb="FFCC0000"/>
        <rFont val="Noto Sans CJK SC"/>
        <family val="2"/>
      </rPr>
      <t xml:space="preserve">买入</t>
    </r>
    <r>
      <rPr>
        <sz val="10"/>
        <color rgb="FFCC0000"/>
        <rFont val="Arial"/>
        <family val="0"/>
        <charset val="1"/>
      </rPr>
      <t xml:space="preserve">)</t>
    </r>
  </si>
  <si>
    <t xml:space="preserve">2025-10-27</t>
  </si>
  <si>
    <t xml:space="preserve">2025-10-24</t>
  </si>
  <si>
    <t xml:space="preserve">2025-10-23</t>
  </si>
  <si>
    <t xml:space="preserve">2025-10-22</t>
  </si>
  <si>
    <t xml:space="preserve">2025-10-21</t>
  </si>
  <si>
    <t xml:space="preserve">2025-10-20</t>
  </si>
  <si>
    <t xml:space="preserve">2025-10-17</t>
  </si>
  <si>
    <t xml:space="preserve">2025-10-16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</si>
</sst>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¥#,##0.00"/>
    <numFmt numFmtId="166" formatCode="\¥#,##0.000"/>
    <numFmt numFmtId="167" formatCode="0.000%"/>
    <numFmt numFmtId="168" formatCode="yyyy\-mm\-dd\ hh:mm:ss"/>
    <numFmt numFmtId="169" formatCode="0.000"/>
    <numFmt numFmtId="170" formatCode="\¥#,##0.00"/>
    <numFmt numFmtId="171" formatCode="0.00"/>
    <numFmt numFmtId="172" formatCode="\¥#,##0.0"/>
  </numFmts>
  <fonts count="3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22B49"/>
      <name val="Arial"/>
      <family val="0"/>
      <charset val="1"/>
    </font>
    <font>
      <b val="true"/>
      <sz val="22"/>
      <color rgb="FF122B49"/>
      <name val="Noto Sans CJK SC"/>
      <family val="2"/>
    </font>
    <font>
      <sz val="11"/>
      <color rgb="FF666666"/>
      <name val="Noto Sans CJK SC"/>
      <family val="2"/>
      <charset val="1"/>
    </font>
    <font>
      <b val="true"/>
      <sz val="14"/>
      <color rgb="FF122B49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sz val="10"/>
      <color rgb="FF0066CC"/>
      <name val="Arial"/>
      <family val="0"/>
      <charset val="1"/>
    </font>
    <font>
      <sz val="10"/>
      <color rgb="FF00000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4E79"/>
      <name val="Noto Sans CJK SC"/>
      <family val="2"/>
      <charset val="1"/>
    </font>
    <font>
      <b val="true"/>
      <sz val="10"/>
      <color rgb="FF1F4E79"/>
      <name val="Arial"/>
      <family val="0"/>
      <charset val="1"/>
    </font>
    <font>
      <b val="true"/>
      <sz val="10"/>
      <color rgb="FF1F4E79"/>
      <name val="Noto Sans CJK SC"/>
      <family val="2"/>
    </font>
    <font>
      <i val="true"/>
      <sz val="9"/>
      <color rgb="FF888888"/>
      <name val="Noto Sans CJK SC"/>
      <family val="2"/>
      <charset val="1"/>
    </font>
    <font>
      <b val="true"/>
      <sz val="16"/>
      <color rgb="FF122B49"/>
      <name val="Arial"/>
      <family val="0"/>
      <charset val="1"/>
    </font>
    <font>
      <b val="true"/>
      <sz val="16"/>
      <color rgb="FF122B49"/>
      <name val="Noto Sans CJK SC"/>
      <family val="2"/>
    </font>
    <font>
      <b val="true"/>
      <sz val="10"/>
      <name val="Arial"/>
      <family val="0"/>
      <charset val="1"/>
    </font>
    <font>
      <sz val="10"/>
      <color rgb="FF666666"/>
      <name val="Noto Sans CJK SC"/>
      <family val="2"/>
      <charset val="1"/>
    </font>
    <font>
      <sz val="10"/>
      <color rgb="FF009900"/>
      <name val="Noto Sans CJK SC"/>
      <family val="2"/>
      <charset val="1"/>
    </font>
    <font>
      <sz val="10"/>
      <color rgb="FFCC0000"/>
      <name val="Noto Sans CJK SC"/>
      <family val="2"/>
      <charset val="1"/>
    </font>
    <font>
      <b val="true"/>
      <sz val="16"/>
      <color rgb="FF122B49"/>
      <name val="Noto Sans CJK SC"/>
      <family val="2"/>
      <charset val="1"/>
    </font>
    <font>
      <sz val="10"/>
      <color rgb="FF666666"/>
      <name val="Noto Sans CJK SC"/>
      <family val="2"/>
    </font>
    <font>
      <sz val="10"/>
      <color rgb="FF666666"/>
      <name val="Arial"/>
      <family val="0"/>
      <charset val="1"/>
    </font>
    <font>
      <sz val="10"/>
      <color rgb="FF009900"/>
      <name val="Noto Sans CJK SC"/>
      <family val="2"/>
    </font>
    <font>
      <sz val="10"/>
      <color rgb="FFCC0000"/>
      <name val="Noto Sans CJK SC"/>
      <family val="2"/>
    </font>
    <font>
      <sz val="10"/>
      <color rgb="FFCC0000"/>
      <name val="Arial"/>
      <family val="0"/>
      <charset val="1"/>
    </font>
    <font>
      <b val="true"/>
      <sz val="10"/>
      <name val="Noto Sans CJK SC"/>
      <family val="2"/>
    </font>
    <font>
      <sz val="10"/>
      <color rgb="FF0099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22B49"/>
        <bgColor rgb="FF333333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22B49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6" min="3" style="1" width="18"/>
    <col collapsed="false" customWidth="true" hidden="false" outlineLevel="0" max="7" min="7" style="1" width="3"/>
  </cols>
  <sheetData>
    <row r="2" customFormat="false" ht="39.75" hidden="false" customHeight="true" outlineLevel="0" collapsed="false">
      <c r="B2" s="2" t="s">
        <v>0</v>
      </c>
      <c r="C2" s="2"/>
      <c r="D2" s="2"/>
      <c r="E2" s="2"/>
      <c r="F2" s="2"/>
    </row>
    <row r="3" customFormat="false" ht="21.75" hidden="false" customHeight="true" outlineLevel="0" collapsed="false">
      <c r="B3" s="3" t="s">
        <v>1</v>
      </c>
      <c r="C3" s="3"/>
      <c r="D3" s="3"/>
      <c r="E3" s="3"/>
      <c r="F3" s="3"/>
    </row>
    <row r="4" customFormat="false" ht="7.5" hidden="false" customHeight="true" outlineLevel="0" collapsed="false"/>
    <row r="5" customFormat="false" ht="27.75" hidden="false" customHeight="true" outlineLevel="0" collapsed="false">
      <c r="B5" s="4" t="s">
        <v>2</v>
      </c>
      <c r="C5" s="4"/>
      <c r="D5" s="4"/>
      <c r="E5" s="4"/>
      <c r="F5" s="4"/>
    </row>
    <row r="6" customFormat="false" ht="24" hidden="false" customHeight="true" outlineLevel="0" collapsed="false">
      <c r="B6" s="5" t="s">
        <v>3</v>
      </c>
      <c r="C6" s="6" t="s">
        <v>4</v>
      </c>
      <c r="D6" s="6" t="s">
        <v>5</v>
      </c>
      <c r="E6" s="6" t="s">
        <v>6</v>
      </c>
      <c r="F6" s="6" t="s">
        <v>7</v>
      </c>
    </row>
    <row r="7" customFormat="false" ht="15" hidden="false" customHeight="true" outlineLevel="0" collapsed="false">
      <c r="B7" s="7" t="s">
        <v>8</v>
      </c>
      <c r="C7" s="8" t="s">
        <v>9</v>
      </c>
      <c r="D7" s="9" t="n">
        <v>81.92</v>
      </c>
      <c r="E7" s="9" t="s">
        <v>10</v>
      </c>
      <c r="F7" s="9" t="n">
        <v>59</v>
      </c>
    </row>
    <row r="8" customFormat="false" ht="15" hidden="false" customHeight="true" outlineLevel="0" collapsed="false">
      <c r="B8" s="10" t="s">
        <v>11</v>
      </c>
      <c r="C8" s="11" t="s">
        <v>12</v>
      </c>
      <c r="D8" s="12" t="n">
        <v>96.02</v>
      </c>
      <c r="E8" s="12" t="s">
        <v>13</v>
      </c>
      <c r="F8" s="12" t="n">
        <v>109</v>
      </c>
    </row>
    <row r="9" customFormat="false" ht="15" hidden="false" customHeight="true" outlineLevel="0" collapsed="false">
      <c r="B9" s="13" t="s">
        <v>14</v>
      </c>
      <c r="C9" s="8" t="s">
        <v>15</v>
      </c>
      <c r="D9" s="9" t="n">
        <v>216.99</v>
      </c>
      <c r="E9" s="9" t="s">
        <v>16</v>
      </c>
      <c r="F9" s="9" t="n">
        <v>225</v>
      </c>
    </row>
    <row r="10" customFormat="false" ht="15" hidden="false" customHeight="true" outlineLevel="0" collapsed="false">
      <c r="B10" s="10" t="s">
        <v>17</v>
      </c>
      <c r="C10" s="11" t="s">
        <v>18</v>
      </c>
      <c r="D10" s="12" t="n">
        <v>43.73</v>
      </c>
      <c r="E10" s="12" t="s">
        <v>19</v>
      </c>
      <c r="F10" s="12" t="n">
        <v>11</v>
      </c>
    </row>
    <row r="11" customFormat="false" ht="21.75" hidden="false" customHeight="true" outlineLevel="0" collapsed="false">
      <c r="B11" s="14" t="s">
        <v>20</v>
      </c>
      <c r="C11" s="15"/>
      <c r="D11" s="16" t="n">
        <f aca="false">SUM(D7:D10)</f>
        <v>438.66</v>
      </c>
      <c r="E11" s="15"/>
      <c r="F11" s="15"/>
    </row>
    <row r="12" customFormat="false" ht="7.5" hidden="false" customHeight="true" outlineLevel="0" collapsed="false"/>
    <row r="13" customFormat="false" ht="27.75" hidden="false" customHeight="true" outlineLevel="0" collapsed="false">
      <c r="B13" s="17" t="s">
        <v>21</v>
      </c>
      <c r="C13" s="17"/>
      <c r="D13" s="17"/>
      <c r="E13" s="17"/>
      <c r="F13" s="17"/>
    </row>
    <row r="14" customFormat="false" ht="24" hidden="false" customHeight="true" outlineLevel="0" collapsed="false">
      <c r="B14" s="6" t="s">
        <v>22</v>
      </c>
      <c r="D14" s="18" t="s">
        <v>23</v>
      </c>
      <c r="E14" s="18"/>
      <c r="F14" s="18"/>
    </row>
    <row r="15" customFormat="false" ht="15" hidden="false" customHeight="true" outlineLevel="0" collapsed="false">
      <c r="B15" s="19" t="s">
        <v>24</v>
      </c>
      <c r="D15" s="7" t="s">
        <v>25</v>
      </c>
      <c r="E15" s="7"/>
      <c r="F15" s="7"/>
    </row>
    <row r="16" customFormat="false" ht="15" hidden="false" customHeight="true" outlineLevel="0" collapsed="false">
      <c r="B16" s="20" t="s">
        <v>26</v>
      </c>
      <c r="D16" s="21" t="s">
        <v>27</v>
      </c>
      <c r="E16" s="21"/>
      <c r="F16" s="21"/>
    </row>
    <row r="17" customFormat="false" ht="15" hidden="false" customHeight="true" outlineLevel="0" collapsed="false">
      <c r="B17" s="22" t="s">
        <v>28</v>
      </c>
      <c r="D17" s="7" t="s">
        <v>29</v>
      </c>
      <c r="E17" s="7"/>
      <c r="F17" s="7"/>
    </row>
    <row r="18" customFormat="false" ht="15" hidden="false" customHeight="true" outlineLevel="0" collapsed="false">
      <c r="B18" s="20" t="s">
        <v>11</v>
      </c>
      <c r="D18" s="10" t="s">
        <v>30</v>
      </c>
      <c r="E18" s="10"/>
      <c r="F18" s="10"/>
    </row>
    <row r="19" customFormat="false" ht="15" hidden="false" customHeight="true" outlineLevel="0" collapsed="false">
      <c r="B19" s="19" t="s">
        <v>14</v>
      </c>
      <c r="D19" s="13" t="s">
        <v>31</v>
      </c>
      <c r="E19" s="13"/>
      <c r="F19" s="13"/>
    </row>
    <row r="20" customFormat="false" ht="15" hidden="false" customHeight="true" outlineLevel="0" collapsed="false">
      <c r="B20" s="20" t="s">
        <v>17</v>
      </c>
      <c r="D20" s="10" t="s">
        <v>32</v>
      </c>
      <c r="E20" s="10"/>
      <c r="F20" s="10"/>
    </row>
    <row r="21" customFormat="false" ht="7.5" hidden="false" customHeight="true" outlineLevel="0" collapsed="false"/>
    <row r="22" customFormat="false" ht="15" hidden="false" customHeight="true" outlineLevel="0" collapsed="false">
      <c r="B22" s="23" t="s">
        <v>33</v>
      </c>
      <c r="C22" s="23"/>
      <c r="D22" s="23"/>
      <c r="E22" s="23"/>
      <c r="F22" s="23"/>
    </row>
  </sheetData>
  <mergeCells count="12">
    <mergeCell ref="B2:F2"/>
    <mergeCell ref="B3:F3"/>
    <mergeCell ref="B5:F5"/>
    <mergeCell ref="B13:F13"/>
    <mergeCell ref="D14:F14"/>
    <mergeCell ref="D15:F15"/>
    <mergeCell ref="D16:F16"/>
    <mergeCell ref="D17:F17"/>
    <mergeCell ref="D18:F18"/>
    <mergeCell ref="D19:F19"/>
    <mergeCell ref="D20:F20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10" min="5" style="1" width="12"/>
    <col collapsed="false" customWidth="true" hidden="false" outlineLevel="0" max="11" min="11" style="1" width="10"/>
  </cols>
  <sheetData>
    <row r="2" customFormat="false" ht="31.5" hidden="false" customHeight="true" outlineLevel="0" collapsed="false">
      <c r="B2" s="24" t="s">
        <v>34</v>
      </c>
      <c r="C2" s="24"/>
      <c r="D2" s="24"/>
      <c r="E2" s="24"/>
      <c r="F2" s="24"/>
      <c r="G2" s="24"/>
      <c r="H2" s="24"/>
      <c r="I2" s="24"/>
      <c r="J2" s="24"/>
      <c r="K2" s="24"/>
    </row>
    <row r="4" customFormat="false" ht="25.5" hidden="false" customHeight="true" outlineLevel="0" collapsed="false">
      <c r="B4" s="5" t="s">
        <v>3</v>
      </c>
      <c r="C4" s="6" t="s">
        <v>4</v>
      </c>
      <c r="D4" s="6" t="s">
        <v>35</v>
      </c>
      <c r="E4" s="6" t="s">
        <v>6</v>
      </c>
      <c r="F4" s="6" t="s">
        <v>7</v>
      </c>
      <c r="G4" s="6" t="s">
        <v>36</v>
      </c>
      <c r="H4" s="6" t="s">
        <v>37</v>
      </c>
      <c r="I4" s="6" t="s">
        <v>38</v>
      </c>
      <c r="J4" s="6" t="s">
        <v>39</v>
      </c>
      <c r="K4" s="6" t="s">
        <v>40</v>
      </c>
    </row>
    <row r="5" customFormat="false" ht="15" hidden="false" customHeight="true" outlineLevel="0" collapsed="false">
      <c r="B5" s="7" t="s">
        <v>41</v>
      </c>
      <c r="C5" s="9" t="n">
        <v>159382</v>
      </c>
      <c r="D5" s="25" t="n">
        <v>81.92</v>
      </c>
      <c r="E5" s="26" t="n">
        <v>0.33279</v>
      </c>
      <c r="F5" s="9" t="n">
        <v>59</v>
      </c>
      <c r="G5" s="25" t="n">
        <v>3.28</v>
      </c>
      <c r="H5" s="9" t="s">
        <v>42</v>
      </c>
      <c r="I5" s="25" t="n">
        <v>2.461</v>
      </c>
      <c r="J5" s="25" t="n">
        <v>0.28</v>
      </c>
      <c r="K5" s="25" t="n">
        <v>2.718</v>
      </c>
    </row>
    <row r="6" customFormat="false" ht="15" hidden="false" customHeight="true" outlineLevel="0" collapsed="false">
      <c r="B6" s="10" t="s">
        <v>43</v>
      </c>
      <c r="C6" s="12" t="n">
        <v>562500</v>
      </c>
      <c r="D6" s="27" t="n">
        <v>96.02</v>
      </c>
      <c r="E6" s="28" t="n">
        <v>0.69565</v>
      </c>
      <c r="F6" s="12" t="n">
        <v>109</v>
      </c>
      <c r="G6" s="27" t="n">
        <v>1.17</v>
      </c>
      <c r="H6" s="12" t="s">
        <v>44</v>
      </c>
      <c r="I6" s="27" t="n">
        <v>0.69</v>
      </c>
      <c r="J6" s="27" t="n">
        <v>0.78</v>
      </c>
      <c r="K6" s="27" t="n">
        <v>1.062</v>
      </c>
    </row>
    <row r="7" customFormat="false" ht="15" hidden="false" customHeight="true" outlineLevel="0" collapsed="false">
      <c r="B7" s="13" t="s">
        <v>45</v>
      </c>
      <c r="C7" s="9" t="n">
        <v>588790</v>
      </c>
      <c r="D7" s="25" t="n">
        <v>216.99</v>
      </c>
      <c r="E7" s="26" t="n">
        <v>0</v>
      </c>
      <c r="F7" s="9" t="n">
        <v>225</v>
      </c>
      <c r="G7" s="25" t="n">
        <v>0.958</v>
      </c>
      <c r="H7" s="9" t="s">
        <v>46</v>
      </c>
      <c r="I7" s="25" t="n">
        <v>-1.212</v>
      </c>
      <c r="J7" s="25" t="n">
        <v>0.41</v>
      </c>
      <c r="K7" s="25" t="n">
        <v>0.857</v>
      </c>
    </row>
    <row r="8" customFormat="false" ht="15" hidden="false" customHeight="true" outlineLevel="0" collapsed="false">
      <c r="B8" s="10" t="s">
        <v>47</v>
      </c>
      <c r="C8" s="12" t="n">
        <v>159605</v>
      </c>
      <c r="D8" s="27" t="n">
        <v>43.73</v>
      </c>
      <c r="E8" s="28" t="n">
        <v>0.0073</v>
      </c>
      <c r="F8" s="12" t="n">
        <v>11</v>
      </c>
      <c r="G8" s="12"/>
      <c r="H8" s="29"/>
      <c r="I8" s="12"/>
      <c r="J8" s="27" t="n">
        <v>1.8</v>
      </c>
      <c r="K8" s="12"/>
    </row>
    <row r="9" customFormat="false" ht="21.75" hidden="false" customHeight="true" outlineLevel="0" collapsed="false">
      <c r="B9" s="14" t="s">
        <v>20</v>
      </c>
      <c r="C9" s="15"/>
      <c r="D9" s="30" t="n">
        <f aca="false">SUM(D5:D8)</f>
        <v>438.66</v>
      </c>
      <c r="E9" s="15"/>
      <c r="F9" s="15"/>
      <c r="G9" s="15"/>
      <c r="H9" s="15"/>
      <c r="I9" s="15"/>
      <c r="J9" s="30" t="n">
        <f aca="false">SUM(J5:J8)</f>
        <v>3.27</v>
      </c>
      <c r="K9" s="15"/>
    </row>
  </sheetData>
  <mergeCells count="1"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0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</cols>
  <sheetData>
    <row r="2" customFormat="false" ht="31.5" hidden="false" customHeight="true" outlineLevel="0" collapsed="false">
      <c r="B2" s="24" t="s">
        <v>48</v>
      </c>
      <c r="C2" s="24"/>
      <c r="D2" s="24"/>
      <c r="E2" s="24"/>
      <c r="F2" s="24"/>
      <c r="G2" s="24"/>
      <c r="H2" s="24"/>
    </row>
    <row r="3" customFormat="false" ht="15" hidden="false" customHeight="true" outlineLevel="0" collapsed="false">
      <c r="B3" s="31" t="s">
        <v>49</v>
      </c>
      <c r="C3" s="31"/>
      <c r="D3" s="31"/>
      <c r="E3" s="31"/>
      <c r="F3" s="31"/>
      <c r="G3" s="31"/>
      <c r="H3" s="31"/>
    </row>
    <row r="5" customFormat="false" ht="25.5" hidden="false" customHeight="true" outlineLevel="0" collapsed="false"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</row>
    <row r="6" customFormat="false" ht="15" hidden="false" customHeight="true" outlineLevel="0" collapsed="false">
      <c r="B6" s="8" t="n">
        <v>1</v>
      </c>
      <c r="C6" s="32" t="s">
        <v>57</v>
      </c>
      <c r="D6" s="33" t="n">
        <v>46154.3994907407</v>
      </c>
      <c r="E6" s="9" t="n">
        <v>100</v>
      </c>
      <c r="F6" s="34" t="n">
        <v>2.907</v>
      </c>
      <c r="G6" s="35" t="n">
        <v>290.7</v>
      </c>
      <c r="H6" s="35" t="n">
        <v>0.04</v>
      </c>
    </row>
    <row r="7" customFormat="false" ht="15" hidden="false" customHeight="true" outlineLevel="0" collapsed="false">
      <c r="B7" s="11" t="n">
        <v>2</v>
      </c>
      <c r="C7" s="36" t="s">
        <v>57</v>
      </c>
      <c r="D7" s="37" t="n">
        <v>46136.4412847222</v>
      </c>
      <c r="E7" s="12" t="n">
        <v>100</v>
      </c>
      <c r="F7" s="38" t="n">
        <v>2.702</v>
      </c>
      <c r="G7" s="39" t="n">
        <v>270.2</v>
      </c>
      <c r="H7" s="39" t="n">
        <v>0.04</v>
      </c>
    </row>
    <row r="8" customFormat="false" ht="15" hidden="false" customHeight="true" outlineLevel="0" collapsed="false">
      <c r="B8" s="8" t="n">
        <v>3</v>
      </c>
      <c r="C8" s="40" t="s">
        <v>58</v>
      </c>
      <c r="D8" s="33" t="n">
        <v>46136.4047106481</v>
      </c>
      <c r="E8" s="9" t="n">
        <v>100</v>
      </c>
      <c r="F8" s="34" t="n">
        <v>2.73</v>
      </c>
      <c r="G8" s="35" t="n">
        <v>273</v>
      </c>
      <c r="H8" s="35" t="n">
        <v>0.04</v>
      </c>
    </row>
    <row r="9" customFormat="false" ht="15" hidden="false" customHeight="true" outlineLevel="0" collapsed="false">
      <c r="B9" s="11" t="n">
        <v>4</v>
      </c>
      <c r="C9" s="36" t="s">
        <v>57</v>
      </c>
      <c r="D9" s="37" t="n">
        <v>46135.4510185185</v>
      </c>
      <c r="E9" s="12" t="n">
        <v>100</v>
      </c>
      <c r="F9" s="38" t="n">
        <v>2.796</v>
      </c>
      <c r="G9" s="39" t="n">
        <v>279.6</v>
      </c>
      <c r="H9" s="39" t="n">
        <v>0.04</v>
      </c>
    </row>
    <row r="10" customFormat="false" ht="6" hidden="false" customHeight="true" outlineLevel="0" collapsed="false">
      <c r="B10" s="8" t="n">
        <v>5</v>
      </c>
      <c r="C10" s="40" t="s">
        <v>59</v>
      </c>
      <c r="D10" s="33" t="n">
        <v>46133.4577662037</v>
      </c>
      <c r="E10" s="9" t="n">
        <v>300</v>
      </c>
      <c r="F10" s="34" t="n">
        <v>2.711</v>
      </c>
      <c r="G10" s="35" t="n">
        <v>813.3</v>
      </c>
      <c r="H10" s="35" t="n">
        <v>0.12</v>
      </c>
    </row>
    <row r="11" customFormat="false" ht="21.75" hidden="false" customHeight="true" outlineLevel="0" collapsed="false">
      <c r="B11" s="14" t="s">
        <v>20</v>
      </c>
      <c r="C11" s="15"/>
      <c r="D11" s="15"/>
      <c r="E11" s="15"/>
      <c r="F11" s="30" t="n">
        <f aca="false">SUM(F6:F10)</f>
        <v>13.846</v>
      </c>
      <c r="G11" s="15"/>
      <c r="H11" s="30" t="n">
        <f aca="false">SUM(H6:H10)</f>
        <v>0.28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3" min="2" style="1" width="10"/>
    <col collapsed="false" customWidth="true" hidden="false" outlineLevel="0" max="4" min="4" style="1" width="20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0"/>
  </cols>
  <sheetData>
    <row r="2" customFormat="false" ht="31.5" hidden="false" customHeight="true" outlineLevel="0" collapsed="false">
      <c r="B2" s="41" t="s">
        <v>60</v>
      </c>
      <c r="C2" s="41"/>
      <c r="D2" s="41"/>
      <c r="E2" s="41"/>
      <c r="F2" s="41"/>
      <c r="G2" s="41"/>
      <c r="H2" s="41"/>
    </row>
    <row r="3" customFormat="false" ht="15" hidden="false" customHeight="true" outlineLevel="0" collapsed="false">
      <c r="B3" s="31" t="s">
        <v>61</v>
      </c>
      <c r="C3" s="31"/>
      <c r="D3" s="31"/>
      <c r="E3" s="31"/>
      <c r="F3" s="31"/>
      <c r="G3" s="31"/>
      <c r="H3" s="31"/>
    </row>
    <row r="5" customFormat="false" ht="25.5" hidden="false" customHeight="true" outlineLevel="0" collapsed="false">
      <c r="B5" s="6" t="s">
        <v>50</v>
      </c>
      <c r="C5" s="6" t="s">
        <v>51</v>
      </c>
      <c r="D5" s="6" t="s">
        <v>52</v>
      </c>
      <c r="E5" s="6" t="s">
        <v>53</v>
      </c>
      <c r="F5" s="6" t="s">
        <v>54</v>
      </c>
      <c r="G5" s="6" t="s">
        <v>55</v>
      </c>
      <c r="H5" s="6" t="s">
        <v>56</v>
      </c>
    </row>
    <row r="6" customFormat="false" ht="15" hidden="false" customHeight="true" outlineLevel="0" collapsed="false">
      <c r="B6" s="8" t="n">
        <v>1</v>
      </c>
      <c r="C6" s="40" t="s">
        <v>58</v>
      </c>
      <c r="D6" s="33" t="n">
        <v>46171.5494791667</v>
      </c>
      <c r="E6" s="9" t="n">
        <v>100</v>
      </c>
      <c r="F6" s="34" t="n">
        <v>1.138</v>
      </c>
      <c r="G6" s="35" t="n">
        <v>113.8</v>
      </c>
      <c r="H6" s="35" t="n">
        <v>0.02</v>
      </c>
    </row>
    <row r="7" customFormat="false" ht="15" hidden="false" customHeight="true" outlineLevel="0" collapsed="false">
      <c r="B7" s="11" t="n">
        <v>2</v>
      </c>
      <c r="C7" s="36" t="s">
        <v>57</v>
      </c>
      <c r="D7" s="37" t="n">
        <v>46160.3962615741</v>
      </c>
      <c r="E7" s="12" t="n">
        <v>100</v>
      </c>
      <c r="F7" s="38" t="n">
        <v>1.16</v>
      </c>
      <c r="G7" s="39" t="n">
        <v>116</v>
      </c>
      <c r="H7" s="39" t="n">
        <v>0.02</v>
      </c>
    </row>
    <row r="8" customFormat="false" ht="15" hidden="false" customHeight="true" outlineLevel="0" collapsed="false">
      <c r="B8" s="8" t="n">
        <v>3</v>
      </c>
      <c r="C8" s="32" t="s">
        <v>57</v>
      </c>
      <c r="D8" s="33" t="n">
        <v>46154.3991666667</v>
      </c>
      <c r="E8" s="9" t="n">
        <v>200</v>
      </c>
      <c r="F8" s="34" t="n">
        <v>1.134</v>
      </c>
      <c r="G8" s="35" t="n">
        <v>226.8</v>
      </c>
      <c r="H8" s="35" t="n">
        <v>0.03</v>
      </c>
    </row>
    <row r="9" customFormat="false" ht="15" hidden="false" customHeight="true" outlineLevel="0" collapsed="false">
      <c r="B9" s="11" t="n">
        <v>4</v>
      </c>
      <c r="C9" s="36" t="s">
        <v>57</v>
      </c>
      <c r="D9" s="37" t="n">
        <v>46149.4337268519</v>
      </c>
      <c r="E9" s="12" t="n">
        <v>200</v>
      </c>
      <c r="F9" s="38" t="n">
        <v>1.083</v>
      </c>
      <c r="G9" s="39" t="n">
        <v>216.6</v>
      </c>
      <c r="H9" s="39" t="n">
        <v>0.03</v>
      </c>
    </row>
    <row r="10" customFormat="false" ht="15" hidden="false" customHeight="true" outlineLevel="0" collapsed="false">
      <c r="B10" s="8" t="n">
        <v>5</v>
      </c>
      <c r="C10" s="32" t="s">
        <v>57</v>
      </c>
      <c r="D10" s="33" t="n">
        <v>46149.3982638889</v>
      </c>
      <c r="E10" s="9" t="n">
        <v>200</v>
      </c>
      <c r="F10" s="34" t="n">
        <v>1.059</v>
      </c>
      <c r="G10" s="35" t="n">
        <v>211.8</v>
      </c>
      <c r="H10" s="35" t="n">
        <v>0.03</v>
      </c>
    </row>
    <row r="11" customFormat="false" ht="15" hidden="false" customHeight="true" outlineLevel="0" collapsed="false">
      <c r="B11" s="11" t="n">
        <v>6</v>
      </c>
      <c r="C11" s="36" t="s">
        <v>57</v>
      </c>
      <c r="D11" s="37" t="n">
        <v>46139.4188425926</v>
      </c>
      <c r="E11" s="12" t="n">
        <v>300</v>
      </c>
      <c r="F11" s="38" t="n">
        <v>1.029</v>
      </c>
      <c r="G11" s="39" t="n">
        <v>308.7</v>
      </c>
      <c r="H11" s="39" t="n">
        <v>0.05</v>
      </c>
    </row>
    <row r="12" customFormat="false" ht="15" hidden="false" customHeight="true" outlineLevel="0" collapsed="false">
      <c r="B12" s="8" t="n">
        <v>7</v>
      </c>
      <c r="C12" s="32" t="s">
        <v>57</v>
      </c>
      <c r="D12" s="33" t="n">
        <v>46136.5438888889</v>
      </c>
      <c r="E12" s="9" t="n">
        <v>300</v>
      </c>
      <c r="F12" s="34" t="n">
        <v>1.005</v>
      </c>
      <c r="G12" s="35" t="n">
        <v>301.5</v>
      </c>
      <c r="H12" s="35" t="n">
        <v>0.05</v>
      </c>
    </row>
    <row r="13" customFormat="false" ht="15" hidden="false" customHeight="true" outlineLevel="0" collapsed="false">
      <c r="B13" s="11" t="n">
        <v>8</v>
      </c>
      <c r="C13" s="42" t="s">
        <v>58</v>
      </c>
      <c r="D13" s="37" t="n">
        <v>46136.4015046296</v>
      </c>
      <c r="E13" s="12" t="n">
        <v>300</v>
      </c>
      <c r="F13" s="38" t="n">
        <v>1.002</v>
      </c>
      <c r="G13" s="39" t="n">
        <v>300.6</v>
      </c>
      <c r="H13" s="39" t="n">
        <v>0.05</v>
      </c>
    </row>
    <row r="14" customFormat="false" ht="15" hidden="false" customHeight="true" outlineLevel="0" collapsed="false">
      <c r="B14" s="8" t="n">
        <v>9</v>
      </c>
      <c r="C14" s="40" t="s">
        <v>58</v>
      </c>
      <c r="D14" s="33" t="n">
        <v>46135.4521412037</v>
      </c>
      <c r="E14" s="9" t="n">
        <v>200</v>
      </c>
      <c r="F14" s="34" t="n">
        <v>1.016</v>
      </c>
      <c r="G14" s="35" t="n">
        <v>203.2</v>
      </c>
      <c r="H14" s="35" t="n">
        <v>0.03</v>
      </c>
    </row>
    <row r="15" customFormat="false" ht="15" hidden="false" customHeight="true" outlineLevel="0" collapsed="false">
      <c r="B15" s="11" t="n">
        <v>10</v>
      </c>
      <c r="C15" s="36" t="s">
        <v>57</v>
      </c>
      <c r="D15" s="37" t="n">
        <v>46133.5545601852</v>
      </c>
      <c r="E15" s="12" t="n">
        <v>100</v>
      </c>
      <c r="F15" s="38" t="n">
        <v>1.016</v>
      </c>
      <c r="G15" s="39" t="n">
        <v>101.6</v>
      </c>
      <c r="H15" s="39" t="n">
        <v>0.02</v>
      </c>
    </row>
    <row r="16" customFormat="false" ht="15" hidden="false" customHeight="true" outlineLevel="0" collapsed="false">
      <c r="B16" s="8" t="n">
        <v>11</v>
      </c>
      <c r="C16" s="40" t="s">
        <v>58</v>
      </c>
      <c r="D16" s="33" t="n">
        <v>46132.3997453704</v>
      </c>
      <c r="E16" s="9" t="n">
        <v>100</v>
      </c>
      <c r="F16" s="34" t="n">
        <v>1.007</v>
      </c>
      <c r="G16" s="35" t="n">
        <v>100.7</v>
      </c>
      <c r="H16" s="35" t="n">
        <v>0.02</v>
      </c>
    </row>
    <row r="17" customFormat="false" ht="15" hidden="false" customHeight="true" outlineLevel="0" collapsed="false">
      <c r="B17" s="11" t="n">
        <v>12</v>
      </c>
      <c r="C17" s="36" t="s">
        <v>57</v>
      </c>
      <c r="D17" s="37" t="n">
        <v>46122.4150115741</v>
      </c>
      <c r="E17" s="12" t="n">
        <v>100</v>
      </c>
      <c r="F17" s="38" t="n">
        <v>0.98</v>
      </c>
      <c r="G17" s="39" t="n">
        <v>98</v>
      </c>
      <c r="H17" s="39" t="n">
        <v>0.01</v>
      </c>
    </row>
    <row r="18" customFormat="false" ht="15" hidden="false" customHeight="true" outlineLevel="0" collapsed="false">
      <c r="B18" s="8" t="n">
        <v>13</v>
      </c>
      <c r="C18" s="40" t="s">
        <v>58</v>
      </c>
      <c r="D18" s="33" t="n">
        <v>46121.3980787037</v>
      </c>
      <c r="E18" s="9" t="n">
        <v>100</v>
      </c>
      <c r="F18" s="34" t="n">
        <v>0.95</v>
      </c>
      <c r="G18" s="35" t="n">
        <v>95</v>
      </c>
      <c r="H18" s="35" t="n">
        <v>0.01</v>
      </c>
    </row>
    <row r="19" customFormat="false" ht="15" hidden="false" customHeight="true" outlineLevel="0" collapsed="false">
      <c r="B19" s="11" t="n">
        <v>14</v>
      </c>
      <c r="C19" s="36" t="s">
        <v>57</v>
      </c>
      <c r="D19" s="37" t="n">
        <v>46120.6055208333</v>
      </c>
      <c r="E19" s="12" t="n">
        <v>100</v>
      </c>
      <c r="F19" s="38" t="n">
        <v>0.962</v>
      </c>
      <c r="G19" s="39" t="n">
        <v>96.2</v>
      </c>
      <c r="H19" s="39" t="n">
        <v>0.01</v>
      </c>
    </row>
    <row r="20" customFormat="false" ht="15" hidden="false" customHeight="true" outlineLevel="0" collapsed="false">
      <c r="B20" s="8" t="n">
        <v>15</v>
      </c>
      <c r="C20" s="32" t="s">
        <v>57</v>
      </c>
      <c r="D20" s="33" t="n">
        <v>46120.4023263889</v>
      </c>
      <c r="E20" s="9" t="n">
        <v>100</v>
      </c>
      <c r="F20" s="34" t="n">
        <v>0.941</v>
      </c>
      <c r="G20" s="35" t="n">
        <v>94.1</v>
      </c>
      <c r="H20" s="35" t="n">
        <v>0.01</v>
      </c>
    </row>
    <row r="21" customFormat="false" ht="15" hidden="false" customHeight="true" outlineLevel="0" collapsed="false">
      <c r="B21" s="11" t="n">
        <v>16</v>
      </c>
      <c r="C21" s="42" t="s">
        <v>58</v>
      </c>
      <c r="D21" s="37" t="n">
        <v>46119.5452546296</v>
      </c>
      <c r="E21" s="12" t="n">
        <v>200</v>
      </c>
      <c r="F21" s="38" t="n">
        <v>0.909</v>
      </c>
      <c r="G21" s="39" t="n">
        <v>181.8</v>
      </c>
      <c r="H21" s="39" t="n">
        <v>0.03</v>
      </c>
    </row>
    <row r="22" customFormat="false" ht="15" hidden="false" customHeight="true" outlineLevel="0" collapsed="false">
      <c r="B22" s="8" t="n">
        <v>17</v>
      </c>
      <c r="C22" s="32" t="s">
        <v>57</v>
      </c>
      <c r="D22" s="33" t="n">
        <v>46113.563912037</v>
      </c>
      <c r="E22" s="9" t="n">
        <v>100</v>
      </c>
      <c r="F22" s="34" t="n">
        <v>0.941</v>
      </c>
      <c r="G22" s="35" t="n">
        <v>94.1</v>
      </c>
      <c r="H22" s="35" t="n">
        <v>0.01</v>
      </c>
    </row>
    <row r="23" customFormat="false" ht="15" hidden="false" customHeight="true" outlineLevel="0" collapsed="false">
      <c r="B23" s="11" t="n">
        <v>18</v>
      </c>
      <c r="C23" s="36" t="s">
        <v>57</v>
      </c>
      <c r="D23" s="37" t="n">
        <v>46112.4142013889</v>
      </c>
      <c r="E23" s="12" t="n">
        <v>300</v>
      </c>
      <c r="F23" s="38" t="n">
        <v>0.934</v>
      </c>
      <c r="G23" s="39" t="n">
        <v>280.2</v>
      </c>
      <c r="H23" s="39" t="n">
        <v>0.04</v>
      </c>
    </row>
    <row r="24" customFormat="false" ht="15" hidden="false" customHeight="true" outlineLevel="0" collapsed="false">
      <c r="B24" s="8" t="n">
        <v>19</v>
      </c>
      <c r="C24" s="40" t="s">
        <v>58</v>
      </c>
      <c r="D24" s="33" t="n">
        <v>46104.5969328704</v>
      </c>
      <c r="E24" s="9" t="n">
        <v>400</v>
      </c>
      <c r="F24" s="34" t="n">
        <v>0.907</v>
      </c>
      <c r="G24" s="35" t="n">
        <v>362.8</v>
      </c>
      <c r="H24" s="35" t="n">
        <v>0.05</v>
      </c>
    </row>
    <row r="25" customFormat="false" ht="15" hidden="false" customHeight="true" outlineLevel="0" collapsed="false">
      <c r="B25" s="11" t="n">
        <v>20</v>
      </c>
      <c r="C25" s="42" t="s">
        <v>58</v>
      </c>
      <c r="D25" s="37" t="n">
        <v>46100.6206944444</v>
      </c>
      <c r="E25" s="12" t="n">
        <v>200</v>
      </c>
      <c r="F25" s="38" t="n">
        <v>0.967</v>
      </c>
      <c r="G25" s="39" t="n">
        <v>193.4</v>
      </c>
      <c r="H25" s="39" t="n">
        <v>0.03</v>
      </c>
    </row>
    <row r="26" customFormat="false" ht="15" hidden="false" customHeight="true" outlineLevel="0" collapsed="false">
      <c r="B26" s="8" t="n">
        <v>21</v>
      </c>
      <c r="C26" s="32" t="s">
        <v>57</v>
      </c>
      <c r="D26" s="33" t="n">
        <v>46099.6111689815</v>
      </c>
      <c r="E26" s="9" t="n">
        <v>200</v>
      </c>
      <c r="F26" s="34" t="n">
        <v>0.992</v>
      </c>
      <c r="G26" s="35" t="n">
        <v>198.4</v>
      </c>
      <c r="H26" s="35" t="n">
        <v>0.03</v>
      </c>
    </row>
    <row r="28" customFormat="false" ht="21.75" hidden="false" customHeight="true" outlineLevel="0" collapsed="false">
      <c r="B28" s="14" t="s">
        <v>20</v>
      </c>
      <c r="C28" s="15"/>
      <c r="D28" s="15"/>
      <c r="E28" s="15"/>
      <c r="F28" s="30" t="n">
        <f aca="false">SUM(F6:F26)</f>
        <v>21.132</v>
      </c>
      <c r="G28" s="15"/>
      <c r="H28" s="30" t="n">
        <f aca="false">SUM(H6:H26)</f>
        <v>0.58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0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2" customFormat="false" ht="31.5" hidden="false" customHeight="true" outlineLevel="0" collapsed="false">
      <c r="B2" s="43" t="s">
        <v>62</v>
      </c>
      <c r="C2" s="43"/>
      <c r="D2" s="43"/>
      <c r="E2" s="43"/>
      <c r="F2" s="43"/>
      <c r="G2" s="43"/>
      <c r="H2" s="43"/>
    </row>
    <row r="3" customFormat="false" ht="15" hidden="false" customHeight="false" outlineLevel="0" collapsed="false">
      <c r="B3" s="44" t="s">
        <v>63</v>
      </c>
      <c r="C3" s="44"/>
      <c r="D3" s="44"/>
      <c r="E3" s="44"/>
      <c r="F3" s="44"/>
      <c r="G3" s="44"/>
      <c r="H3" s="44"/>
    </row>
    <row r="5" customFormat="false" ht="25.5" hidden="false" customHeight="true" outlineLevel="0" collapsed="false">
      <c r="B5" s="45" t="s">
        <v>50</v>
      </c>
      <c r="C5" s="45" t="s">
        <v>51</v>
      </c>
      <c r="D5" s="45" t="s">
        <v>52</v>
      </c>
      <c r="E5" s="45" t="s">
        <v>53</v>
      </c>
      <c r="F5" s="45" t="s">
        <v>64</v>
      </c>
      <c r="G5" s="45" t="s">
        <v>65</v>
      </c>
      <c r="H5" s="45" t="s">
        <v>66</v>
      </c>
    </row>
    <row r="6" customFormat="false" ht="15" hidden="false" customHeight="false" outlineLevel="0" collapsed="false">
      <c r="B6" s="8" t="n">
        <v>1</v>
      </c>
      <c r="C6" s="46" t="s">
        <v>57</v>
      </c>
      <c r="D6" s="33" t="n">
        <v>46149.4012847222</v>
      </c>
      <c r="E6" s="9" t="n">
        <v>100</v>
      </c>
      <c r="F6" s="34" t="n">
        <v>0.941</v>
      </c>
      <c r="G6" s="47" t="n">
        <v>94.1</v>
      </c>
      <c r="H6" s="47" t="n">
        <v>0.01</v>
      </c>
    </row>
    <row r="7" customFormat="false" ht="15" hidden="false" customHeight="false" outlineLevel="0" collapsed="false">
      <c r="B7" s="11" t="n">
        <v>2</v>
      </c>
      <c r="C7" s="48" t="s">
        <v>57</v>
      </c>
      <c r="D7" s="37" t="n">
        <v>46036.4395833333</v>
      </c>
      <c r="E7" s="12" t="n">
        <v>800</v>
      </c>
      <c r="F7" s="38" t="n">
        <v>0.944</v>
      </c>
      <c r="G7" s="49" t="n">
        <v>755.2</v>
      </c>
      <c r="H7" s="49" t="n">
        <v>0.04</v>
      </c>
    </row>
    <row r="8" customFormat="false" ht="15" hidden="false" customHeight="false" outlineLevel="0" collapsed="false">
      <c r="B8" s="8" t="n">
        <v>3</v>
      </c>
      <c r="C8" s="46" t="s">
        <v>57</v>
      </c>
      <c r="D8" s="33" t="n">
        <v>46034.5834606482</v>
      </c>
      <c r="E8" s="9" t="n">
        <v>900</v>
      </c>
      <c r="F8" s="34" t="n">
        <v>0.922</v>
      </c>
      <c r="G8" s="47" t="n">
        <v>829.8</v>
      </c>
      <c r="H8" s="47" t="n">
        <v>0.04</v>
      </c>
    </row>
    <row r="9" customFormat="false" ht="15" hidden="false" customHeight="false" outlineLevel="0" collapsed="false">
      <c r="B9" s="11" t="n">
        <v>4</v>
      </c>
      <c r="C9" s="50" t="s">
        <v>58</v>
      </c>
      <c r="D9" s="37" t="n">
        <v>46034.5616550926</v>
      </c>
      <c r="E9" s="12" t="n">
        <v>1000</v>
      </c>
      <c r="F9" s="38" t="n">
        <v>0.918</v>
      </c>
      <c r="G9" s="49" t="n">
        <v>918</v>
      </c>
      <c r="H9" s="49" t="n">
        <v>0.05</v>
      </c>
    </row>
    <row r="10" customFormat="false" ht="15" hidden="false" customHeight="false" outlineLevel="0" collapsed="false">
      <c r="B10" s="8" t="n">
        <v>5</v>
      </c>
      <c r="C10" s="46" t="s">
        <v>57</v>
      </c>
      <c r="D10" s="33" t="n">
        <v>46027.6003935185</v>
      </c>
      <c r="E10" s="9" t="n">
        <v>900</v>
      </c>
      <c r="F10" s="34" t="n">
        <v>0.819</v>
      </c>
      <c r="G10" s="47" t="n">
        <v>737.1</v>
      </c>
      <c r="H10" s="47" t="n">
        <v>0.04</v>
      </c>
    </row>
    <row r="11" customFormat="false" ht="15" hidden="false" customHeight="false" outlineLevel="0" collapsed="false">
      <c r="B11" s="11" t="n">
        <v>6</v>
      </c>
      <c r="C11" s="48" t="s">
        <v>57</v>
      </c>
      <c r="D11" s="37" t="n">
        <v>46027.4578472222</v>
      </c>
      <c r="E11" s="12" t="n">
        <v>800</v>
      </c>
      <c r="F11" s="38" t="n">
        <v>0.808</v>
      </c>
      <c r="G11" s="49" t="n">
        <v>646.4</v>
      </c>
      <c r="H11" s="49" t="n">
        <v>0.03</v>
      </c>
    </row>
    <row r="12" customFormat="false" ht="15" hidden="false" customHeight="false" outlineLevel="0" collapsed="false">
      <c r="B12" s="8" t="n">
        <v>7</v>
      </c>
      <c r="C12" s="46" t="s">
        <v>57</v>
      </c>
      <c r="D12" s="33" t="n">
        <v>46027.4534837963</v>
      </c>
      <c r="E12" s="9" t="n">
        <v>1300</v>
      </c>
      <c r="F12" s="34" t="n">
        <v>0.812</v>
      </c>
      <c r="G12" s="47" t="n">
        <v>1055.6</v>
      </c>
      <c r="H12" s="47" t="n">
        <v>0.05</v>
      </c>
    </row>
    <row r="13" customFormat="false" ht="15" hidden="false" customHeight="false" outlineLevel="0" collapsed="false">
      <c r="B13" s="11" t="n">
        <v>8</v>
      </c>
      <c r="C13" s="50" t="s">
        <v>58</v>
      </c>
      <c r="D13" s="37" t="n">
        <v>45971.4075810185</v>
      </c>
      <c r="E13" s="12" t="n">
        <v>1600</v>
      </c>
      <c r="F13" s="38" t="n">
        <v>0.777</v>
      </c>
      <c r="G13" s="49" t="n">
        <v>1243.2</v>
      </c>
      <c r="H13" s="49" t="n">
        <v>0.06</v>
      </c>
    </row>
    <row r="14" customFormat="false" ht="15" hidden="false" customHeight="false" outlineLevel="0" collapsed="false">
      <c r="B14" s="8" t="n">
        <v>9</v>
      </c>
      <c r="C14" s="51" t="s">
        <v>67</v>
      </c>
      <c r="D14" s="33" t="n">
        <v>45967.6011226852</v>
      </c>
      <c r="E14" s="9" t="n">
        <v>2300</v>
      </c>
      <c r="F14" s="34" t="n">
        <v>0.798</v>
      </c>
      <c r="G14" s="47" t="n">
        <v>1835.4</v>
      </c>
      <c r="H14" s="47" t="n">
        <v>0.09</v>
      </c>
    </row>
    <row r="16" customFormat="false" ht="21.75" hidden="false" customHeight="true" outlineLevel="0" collapsed="false">
      <c r="B16" s="52" t="s">
        <v>20</v>
      </c>
      <c r="C16" s="53"/>
      <c r="D16" s="53"/>
      <c r="E16" s="53"/>
      <c r="F16" s="54" t="n">
        <f aca="false">SUM(F6:F14)</f>
        <v>7.739</v>
      </c>
      <c r="G16" s="53"/>
      <c r="H16" s="54" t="n">
        <f aca="false">SUM(H6:H14)</f>
        <v>0.41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2" customFormat="false" ht="31.5" hidden="false" customHeight="true" outlineLevel="0" collapsed="false">
      <c r="B2" s="43" t="s">
        <v>68</v>
      </c>
      <c r="C2" s="43"/>
      <c r="D2" s="43"/>
      <c r="E2" s="43"/>
      <c r="F2" s="43"/>
      <c r="G2" s="43"/>
      <c r="H2" s="43"/>
    </row>
    <row r="3" customFormat="false" ht="15" hidden="false" customHeight="false" outlineLevel="0" collapsed="false">
      <c r="B3" s="44" t="s">
        <v>69</v>
      </c>
      <c r="C3" s="44"/>
      <c r="D3" s="44"/>
      <c r="E3" s="44"/>
      <c r="F3" s="44"/>
      <c r="G3" s="44"/>
      <c r="H3" s="44"/>
    </row>
    <row r="5" customFormat="false" ht="25.5" hidden="false" customHeight="true" outlineLevel="0" collapsed="false">
      <c r="B5" s="45" t="s">
        <v>50</v>
      </c>
      <c r="C5" s="45" t="s">
        <v>51</v>
      </c>
      <c r="D5" s="45" t="s">
        <v>52</v>
      </c>
      <c r="E5" s="45" t="s">
        <v>53</v>
      </c>
      <c r="F5" s="45" t="s">
        <v>64</v>
      </c>
      <c r="G5" s="45" t="s">
        <v>65</v>
      </c>
      <c r="H5" s="45" t="s">
        <v>66</v>
      </c>
    </row>
    <row r="6" customFormat="false" ht="15" hidden="false" customHeight="false" outlineLevel="0" collapsed="false">
      <c r="B6" s="8" t="n">
        <v>1</v>
      </c>
      <c r="C6" s="46" t="s">
        <v>70</v>
      </c>
      <c r="D6" s="8" t="s">
        <v>71</v>
      </c>
      <c r="E6" s="9" t="n">
        <v>200</v>
      </c>
      <c r="F6" s="55" t="n">
        <v>1.22</v>
      </c>
      <c r="G6" s="56" t="n">
        <v>245.2</v>
      </c>
      <c r="H6" s="56" t="n">
        <v>0</v>
      </c>
    </row>
    <row r="7" customFormat="false" ht="15" hidden="false" customHeight="false" outlineLevel="0" collapsed="false">
      <c r="B7" s="11" t="n">
        <v>2</v>
      </c>
      <c r="C7" s="48" t="s">
        <v>57</v>
      </c>
      <c r="D7" s="11" t="s">
        <v>72</v>
      </c>
      <c r="E7" s="12" t="n">
        <v>100</v>
      </c>
      <c r="F7" s="57" t="n">
        <v>1.22</v>
      </c>
      <c r="G7" s="58" t="n">
        <v>122.4</v>
      </c>
      <c r="H7" s="58" t="n">
        <v>0</v>
      </c>
    </row>
    <row r="8" customFormat="false" ht="15" hidden="false" customHeight="false" outlineLevel="0" collapsed="false">
      <c r="B8" s="8" t="n">
        <v>3</v>
      </c>
      <c r="C8" s="46" t="s">
        <v>57</v>
      </c>
      <c r="D8" s="8" t="s">
        <v>72</v>
      </c>
      <c r="E8" s="9" t="n">
        <v>100</v>
      </c>
      <c r="F8" s="55" t="n">
        <v>1.22</v>
      </c>
      <c r="G8" s="56" t="n">
        <v>122.2</v>
      </c>
      <c r="H8" s="56" t="n">
        <v>0</v>
      </c>
    </row>
    <row r="9" customFormat="false" ht="15" hidden="false" customHeight="false" outlineLevel="0" collapsed="false">
      <c r="B9" s="11" t="n">
        <v>4</v>
      </c>
      <c r="C9" s="48" t="s">
        <v>57</v>
      </c>
      <c r="D9" s="11" t="s">
        <v>72</v>
      </c>
      <c r="E9" s="12" t="n">
        <v>100</v>
      </c>
      <c r="F9" s="57" t="n">
        <v>1.22</v>
      </c>
      <c r="G9" s="58" t="n">
        <v>122.1</v>
      </c>
      <c r="H9" s="58" t="n">
        <v>0</v>
      </c>
    </row>
    <row r="10" customFormat="false" ht="15" hidden="false" customHeight="false" outlineLevel="0" collapsed="false">
      <c r="B10" s="8" t="n">
        <v>5</v>
      </c>
      <c r="C10" s="46" t="s">
        <v>57</v>
      </c>
      <c r="D10" s="8" t="s">
        <v>72</v>
      </c>
      <c r="E10" s="9" t="n">
        <v>100</v>
      </c>
      <c r="F10" s="55" t="n">
        <v>1.22</v>
      </c>
      <c r="G10" s="56" t="n">
        <v>122</v>
      </c>
      <c r="H10" s="56" t="n">
        <v>0</v>
      </c>
    </row>
    <row r="11" customFormat="false" ht="15" hidden="false" customHeight="false" outlineLevel="0" collapsed="false">
      <c r="B11" s="11" t="n">
        <v>6</v>
      </c>
      <c r="C11" s="50" t="s">
        <v>58</v>
      </c>
      <c r="D11" s="11" t="s">
        <v>72</v>
      </c>
      <c r="E11" s="12" t="n">
        <v>100</v>
      </c>
      <c r="F11" s="57" t="n">
        <v>1.22</v>
      </c>
      <c r="G11" s="58" t="n">
        <v>122</v>
      </c>
      <c r="H11" s="58" t="n">
        <v>0</v>
      </c>
    </row>
    <row r="12" customFormat="false" ht="15" hidden="false" customHeight="false" outlineLevel="0" collapsed="false">
      <c r="B12" s="8" t="n">
        <v>7</v>
      </c>
      <c r="C12" s="46" t="s">
        <v>57</v>
      </c>
      <c r="D12" s="8" t="s">
        <v>72</v>
      </c>
      <c r="E12" s="9" t="n">
        <v>100</v>
      </c>
      <c r="F12" s="55" t="n">
        <v>1.21</v>
      </c>
      <c r="G12" s="56" t="n">
        <v>121.9</v>
      </c>
      <c r="H12" s="56" t="n">
        <v>0</v>
      </c>
    </row>
    <row r="13" customFormat="false" ht="15" hidden="false" customHeight="false" outlineLevel="0" collapsed="false">
      <c r="B13" s="11" t="n">
        <v>8</v>
      </c>
      <c r="C13" s="48" t="s">
        <v>57</v>
      </c>
      <c r="D13" s="11" t="s">
        <v>72</v>
      </c>
      <c r="E13" s="12" t="n">
        <v>100</v>
      </c>
      <c r="F13" s="57" t="n">
        <v>1.21</v>
      </c>
      <c r="G13" s="58" t="n">
        <v>121.9</v>
      </c>
      <c r="H13" s="58" t="n">
        <v>0</v>
      </c>
    </row>
    <row r="14" customFormat="false" ht="15" hidden="false" customHeight="false" outlineLevel="0" collapsed="false">
      <c r="B14" s="8" t="n">
        <v>9</v>
      </c>
      <c r="C14" s="51" t="s">
        <v>73</v>
      </c>
      <c r="D14" s="8" t="s">
        <v>72</v>
      </c>
      <c r="E14" s="9" t="n">
        <v>700</v>
      </c>
      <c r="F14" s="55" t="n">
        <v>1.22</v>
      </c>
      <c r="G14" s="56" t="n">
        <v>854</v>
      </c>
      <c r="H14" s="56" t="n">
        <v>0.1</v>
      </c>
    </row>
    <row r="15" customFormat="false" ht="15" hidden="false" customHeight="false" outlineLevel="0" collapsed="false">
      <c r="B15" s="11" t="n">
        <v>10</v>
      </c>
      <c r="C15" s="48" t="s">
        <v>70</v>
      </c>
      <c r="D15" s="11" t="s">
        <v>74</v>
      </c>
      <c r="E15" s="12" t="n">
        <v>100</v>
      </c>
      <c r="F15" s="57" t="n">
        <v>1.22</v>
      </c>
      <c r="G15" s="58" t="n">
        <v>122.7</v>
      </c>
      <c r="H15" s="58" t="n">
        <v>0</v>
      </c>
    </row>
    <row r="16" customFormat="false" ht="15" hidden="false" customHeight="false" outlineLevel="0" collapsed="false">
      <c r="B16" s="8" t="n">
        <v>11</v>
      </c>
      <c r="C16" s="46" t="s">
        <v>57</v>
      </c>
      <c r="D16" s="8" t="s">
        <v>74</v>
      </c>
      <c r="E16" s="9" t="n">
        <v>300</v>
      </c>
      <c r="F16" s="55" t="n">
        <v>1.22</v>
      </c>
      <c r="G16" s="56" t="n">
        <v>367.8</v>
      </c>
      <c r="H16" s="56" t="n">
        <v>0</v>
      </c>
    </row>
    <row r="17" customFormat="false" ht="15" hidden="false" customHeight="false" outlineLevel="0" collapsed="false">
      <c r="B17" s="11" t="n">
        <v>12</v>
      </c>
      <c r="C17" s="48" t="s">
        <v>57</v>
      </c>
      <c r="D17" s="11" t="s">
        <v>74</v>
      </c>
      <c r="E17" s="12" t="n">
        <v>600</v>
      </c>
      <c r="F17" s="57" t="n">
        <v>1.22</v>
      </c>
      <c r="G17" s="58" t="n">
        <v>732</v>
      </c>
      <c r="H17" s="58" t="n">
        <v>0.1</v>
      </c>
    </row>
    <row r="18" customFormat="false" ht="15" hidden="false" customHeight="false" outlineLevel="0" collapsed="false">
      <c r="B18" s="8" t="n">
        <v>13</v>
      </c>
      <c r="C18" s="51" t="s">
        <v>58</v>
      </c>
      <c r="D18" s="8" t="s">
        <v>74</v>
      </c>
      <c r="E18" s="9" t="n">
        <v>600</v>
      </c>
      <c r="F18" s="55" t="n">
        <v>1.22</v>
      </c>
      <c r="G18" s="56" t="n">
        <v>735</v>
      </c>
      <c r="H18" s="56" t="n">
        <v>0.1</v>
      </c>
    </row>
    <row r="19" customFormat="false" ht="15" hidden="false" customHeight="false" outlineLevel="0" collapsed="false">
      <c r="B19" s="11" t="n">
        <v>14</v>
      </c>
      <c r="C19" s="48" t="s">
        <v>57</v>
      </c>
      <c r="D19" s="11" t="s">
        <v>75</v>
      </c>
      <c r="E19" s="12" t="n">
        <v>100</v>
      </c>
      <c r="F19" s="57" t="n">
        <v>1.2</v>
      </c>
      <c r="G19" s="58" t="n">
        <v>120.9</v>
      </c>
      <c r="H19" s="58" t="n">
        <v>0</v>
      </c>
    </row>
    <row r="20" customFormat="false" ht="15" hidden="false" customHeight="false" outlineLevel="0" collapsed="false">
      <c r="B20" s="8" t="n">
        <v>15</v>
      </c>
      <c r="C20" s="46" t="s">
        <v>57</v>
      </c>
      <c r="D20" s="8" t="s">
        <v>76</v>
      </c>
      <c r="E20" s="9" t="n">
        <v>200</v>
      </c>
      <c r="F20" s="55" t="n">
        <v>1.19</v>
      </c>
      <c r="G20" s="56" t="n">
        <v>239.8</v>
      </c>
      <c r="H20" s="56" t="n">
        <v>0</v>
      </c>
    </row>
    <row r="21" customFormat="false" ht="15" hidden="false" customHeight="false" outlineLevel="0" collapsed="false">
      <c r="B21" s="11" t="n">
        <v>16</v>
      </c>
      <c r="C21" s="48" t="s">
        <v>57</v>
      </c>
      <c r="D21" s="11" t="s">
        <v>76</v>
      </c>
      <c r="E21" s="12" t="n">
        <v>300</v>
      </c>
      <c r="F21" s="57" t="n">
        <v>1.19</v>
      </c>
      <c r="G21" s="58" t="n">
        <v>359.7</v>
      </c>
      <c r="H21" s="58" t="n">
        <v>0</v>
      </c>
    </row>
    <row r="22" customFormat="false" ht="15" hidden="false" customHeight="false" outlineLevel="0" collapsed="false">
      <c r="B22" s="8" t="n">
        <v>17</v>
      </c>
      <c r="C22" s="46" t="s">
        <v>57</v>
      </c>
      <c r="D22" s="8" t="s">
        <v>76</v>
      </c>
      <c r="E22" s="9" t="n">
        <v>500</v>
      </c>
      <c r="F22" s="55" t="n">
        <v>1.19</v>
      </c>
      <c r="G22" s="56" t="n">
        <v>599.5</v>
      </c>
      <c r="H22" s="56" t="n">
        <v>0</v>
      </c>
    </row>
    <row r="23" customFormat="false" ht="15" hidden="false" customHeight="false" outlineLevel="0" collapsed="false">
      <c r="B23" s="11" t="n">
        <v>18</v>
      </c>
      <c r="C23" s="48" t="s">
        <v>57</v>
      </c>
      <c r="D23" s="11" t="s">
        <v>76</v>
      </c>
      <c r="E23" s="12" t="n">
        <v>300</v>
      </c>
      <c r="F23" s="57" t="n">
        <v>1.19</v>
      </c>
      <c r="G23" s="58" t="n">
        <v>359.7</v>
      </c>
      <c r="H23" s="58" t="n">
        <v>0</v>
      </c>
    </row>
    <row r="24" customFormat="false" ht="15" hidden="false" customHeight="false" outlineLevel="0" collapsed="false">
      <c r="B24" s="8" t="n">
        <v>19</v>
      </c>
      <c r="C24" s="51" t="s">
        <v>58</v>
      </c>
      <c r="D24" s="8" t="s">
        <v>76</v>
      </c>
      <c r="E24" s="9" t="n">
        <v>100</v>
      </c>
      <c r="F24" s="55" t="n">
        <v>1.17</v>
      </c>
      <c r="G24" s="56" t="n">
        <v>117.3</v>
      </c>
      <c r="H24" s="56" t="n">
        <v>0</v>
      </c>
    </row>
    <row r="25" customFormat="false" ht="15" hidden="false" customHeight="false" outlineLevel="0" collapsed="false">
      <c r="B25" s="11" t="n">
        <v>20</v>
      </c>
      <c r="C25" s="50" t="s">
        <v>58</v>
      </c>
      <c r="D25" s="11" t="s">
        <v>76</v>
      </c>
      <c r="E25" s="12" t="n">
        <v>100</v>
      </c>
      <c r="F25" s="57" t="n">
        <v>1.18</v>
      </c>
      <c r="G25" s="58" t="n">
        <v>118.1</v>
      </c>
      <c r="H25" s="58" t="n">
        <v>0</v>
      </c>
    </row>
    <row r="26" customFormat="false" ht="15" hidden="false" customHeight="false" outlineLevel="0" collapsed="false">
      <c r="B26" s="8" t="n">
        <v>21</v>
      </c>
      <c r="C26" s="51" t="s">
        <v>58</v>
      </c>
      <c r="D26" s="8" t="s">
        <v>77</v>
      </c>
      <c r="E26" s="9" t="n">
        <v>200</v>
      </c>
      <c r="F26" s="55" t="n">
        <v>1.17</v>
      </c>
      <c r="G26" s="56" t="n">
        <v>235.4</v>
      </c>
      <c r="H26" s="56" t="n">
        <v>0</v>
      </c>
    </row>
    <row r="27" customFormat="false" ht="15" hidden="false" customHeight="false" outlineLevel="0" collapsed="false">
      <c r="B27" s="11" t="n">
        <v>22</v>
      </c>
      <c r="C27" s="50" t="s">
        <v>58</v>
      </c>
      <c r="D27" s="11" t="s">
        <v>77</v>
      </c>
      <c r="E27" s="12" t="n">
        <v>300</v>
      </c>
      <c r="F27" s="57" t="n">
        <v>1.18</v>
      </c>
      <c r="G27" s="58" t="n">
        <v>355.5</v>
      </c>
      <c r="H27" s="58" t="n">
        <v>0</v>
      </c>
    </row>
    <row r="28" customFormat="false" ht="15" hidden="false" customHeight="false" outlineLevel="0" collapsed="false">
      <c r="B28" s="8" t="n">
        <v>23</v>
      </c>
      <c r="C28" s="51" t="s">
        <v>58</v>
      </c>
      <c r="D28" s="8" t="s">
        <v>77</v>
      </c>
      <c r="E28" s="9" t="n">
        <v>200</v>
      </c>
      <c r="F28" s="55" t="n">
        <v>1.18</v>
      </c>
      <c r="G28" s="56" t="n">
        <v>237.4</v>
      </c>
      <c r="H28" s="56" t="n">
        <v>0</v>
      </c>
    </row>
    <row r="29" customFormat="false" ht="15" hidden="false" customHeight="false" outlineLevel="0" collapsed="false">
      <c r="B29" s="11" t="n">
        <v>24</v>
      </c>
      <c r="C29" s="50" t="s">
        <v>58</v>
      </c>
      <c r="D29" s="11" t="s">
        <v>77</v>
      </c>
      <c r="E29" s="12" t="n">
        <v>200</v>
      </c>
      <c r="F29" s="57" t="n">
        <v>1.19</v>
      </c>
      <c r="G29" s="58" t="n">
        <v>238.2</v>
      </c>
      <c r="H29" s="58" t="n">
        <v>0</v>
      </c>
    </row>
    <row r="30" customFormat="false" ht="15" hidden="false" customHeight="false" outlineLevel="0" collapsed="false">
      <c r="B30" s="8" t="n">
        <v>25</v>
      </c>
      <c r="C30" s="51" t="s">
        <v>58</v>
      </c>
      <c r="D30" s="8" t="s">
        <v>77</v>
      </c>
      <c r="E30" s="9" t="n">
        <v>500</v>
      </c>
      <c r="F30" s="55" t="n">
        <v>1.19</v>
      </c>
      <c r="G30" s="56" t="n">
        <v>595.5</v>
      </c>
      <c r="H30" s="56" t="n">
        <v>0</v>
      </c>
    </row>
    <row r="31" customFormat="false" ht="15" hidden="false" customHeight="false" outlineLevel="0" collapsed="false">
      <c r="B31" s="11" t="n">
        <v>26</v>
      </c>
      <c r="C31" s="50" t="s">
        <v>73</v>
      </c>
      <c r="D31" s="11" t="s">
        <v>77</v>
      </c>
      <c r="E31" s="12" t="n">
        <v>200</v>
      </c>
      <c r="F31" s="57" t="n">
        <v>1.18</v>
      </c>
      <c r="G31" s="58" t="n">
        <v>237.8</v>
      </c>
      <c r="H31" s="58" t="n">
        <v>0</v>
      </c>
    </row>
    <row r="32" customFormat="false" ht="15" hidden="false" customHeight="false" outlineLevel="0" collapsed="false">
      <c r="B32" s="8" t="n">
        <v>27</v>
      </c>
      <c r="C32" s="46" t="s">
        <v>70</v>
      </c>
      <c r="D32" s="8" t="s">
        <v>78</v>
      </c>
      <c r="E32" s="9" t="n">
        <v>400</v>
      </c>
      <c r="F32" s="55" t="n">
        <v>1.21</v>
      </c>
      <c r="G32" s="56" t="n">
        <v>486</v>
      </c>
      <c r="H32" s="56" t="n">
        <v>0</v>
      </c>
    </row>
    <row r="33" customFormat="false" ht="15" hidden="false" customHeight="false" outlineLevel="0" collapsed="false">
      <c r="B33" s="11" t="n">
        <v>28</v>
      </c>
      <c r="C33" s="50" t="s">
        <v>58</v>
      </c>
      <c r="D33" s="11" t="s">
        <v>78</v>
      </c>
      <c r="E33" s="12" t="n">
        <v>400</v>
      </c>
      <c r="F33" s="57" t="n">
        <v>1.21</v>
      </c>
      <c r="G33" s="58" t="n">
        <v>486.4</v>
      </c>
      <c r="H33" s="58" t="n">
        <v>0</v>
      </c>
    </row>
    <row r="34" customFormat="false" ht="15" hidden="false" customHeight="false" outlineLevel="0" collapsed="false">
      <c r="B34" s="8" t="n">
        <v>29</v>
      </c>
      <c r="C34" s="46" t="s">
        <v>57</v>
      </c>
      <c r="D34" s="8" t="s">
        <v>78</v>
      </c>
      <c r="E34" s="9" t="n">
        <v>300</v>
      </c>
      <c r="F34" s="55" t="n">
        <v>1.2</v>
      </c>
      <c r="G34" s="56" t="n">
        <v>361.5</v>
      </c>
      <c r="H34" s="56" t="n">
        <v>0</v>
      </c>
    </row>
    <row r="35" customFormat="false" ht="15" hidden="false" customHeight="false" outlineLevel="0" collapsed="false">
      <c r="B35" s="11" t="n">
        <v>30</v>
      </c>
      <c r="C35" s="48" t="s">
        <v>57</v>
      </c>
      <c r="D35" s="11" t="s">
        <v>79</v>
      </c>
      <c r="E35" s="12" t="n">
        <v>200</v>
      </c>
      <c r="F35" s="57" t="n">
        <v>1.19</v>
      </c>
      <c r="G35" s="58" t="n">
        <v>238.4</v>
      </c>
      <c r="H35" s="58" t="n">
        <v>0</v>
      </c>
    </row>
    <row r="36" customFormat="false" ht="15" hidden="false" customHeight="false" outlineLevel="0" collapsed="false">
      <c r="B36" s="8" t="n">
        <v>31</v>
      </c>
      <c r="C36" s="46" t="s">
        <v>57</v>
      </c>
      <c r="D36" s="8" t="s">
        <v>79</v>
      </c>
      <c r="E36" s="9" t="n">
        <v>500</v>
      </c>
      <c r="F36" s="55" t="n">
        <v>1.18</v>
      </c>
      <c r="G36" s="56" t="n">
        <v>592</v>
      </c>
      <c r="H36" s="56" t="n">
        <v>0</v>
      </c>
    </row>
    <row r="37" customFormat="false" ht="15" hidden="false" customHeight="false" outlineLevel="0" collapsed="false">
      <c r="B37" s="11" t="n">
        <v>32</v>
      </c>
      <c r="C37" s="50" t="s">
        <v>58</v>
      </c>
      <c r="D37" s="11" t="s">
        <v>80</v>
      </c>
      <c r="E37" s="12" t="n">
        <v>100</v>
      </c>
      <c r="F37" s="57" t="n">
        <v>1.16</v>
      </c>
      <c r="G37" s="58" t="n">
        <v>116.8</v>
      </c>
      <c r="H37" s="58" t="n">
        <v>0</v>
      </c>
    </row>
    <row r="38" customFormat="false" ht="15" hidden="false" customHeight="false" outlineLevel="0" collapsed="false">
      <c r="B38" s="8" t="n">
        <v>33</v>
      </c>
      <c r="C38" s="51" t="s">
        <v>58</v>
      </c>
      <c r="D38" s="8" t="s">
        <v>80</v>
      </c>
      <c r="E38" s="9" t="n">
        <v>200</v>
      </c>
      <c r="F38" s="55" t="n">
        <v>1.17</v>
      </c>
      <c r="G38" s="56" t="n">
        <v>234.4</v>
      </c>
      <c r="H38" s="56" t="n">
        <v>0</v>
      </c>
    </row>
    <row r="39" customFormat="false" ht="15" hidden="false" customHeight="false" outlineLevel="0" collapsed="false">
      <c r="B39" s="11" t="n">
        <v>34</v>
      </c>
      <c r="C39" s="48" t="s">
        <v>57</v>
      </c>
      <c r="D39" s="11" t="s">
        <v>81</v>
      </c>
      <c r="E39" s="12" t="n">
        <v>200</v>
      </c>
      <c r="F39" s="57" t="n">
        <v>1.18</v>
      </c>
      <c r="G39" s="58" t="n">
        <v>237.4</v>
      </c>
      <c r="H39" s="58" t="n">
        <v>0</v>
      </c>
    </row>
    <row r="40" customFormat="false" ht="15" hidden="false" customHeight="false" outlineLevel="0" collapsed="false">
      <c r="B40" s="8" t="n">
        <v>35</v>
      </c>
      <c r="C40" s="46" t="s">
        <v>57</v>
      </c>
      <c r="D40" s="8" t="s">
        <v>81</v>
      </c>
      <c r="E40" s="9" t="n">
        <v>200</v>
      </c>
      <c r="F40" s="55" t="n">
        <v>1.18</v>
      </c>
      <c r="G40" s="56" t="n">
        <v>237.2</v>
      </c>
      <c r="H40" s="56" t="n">
        <v>0</v>
      </c>
    </row>
    <row r="41" customFormat="false" ht="15" hidden="false" customHeight="false" outlineLevel="0" collapsed="false">
      <c r="B41" s="11" t="n">
        <v>36</v>
      </c>
      <c r="C41" s="50" t="s">
        <v>58</v>
      </c>
      <c r="D41" s="11" t="s">
        <v>81</v>
      </c>
      <c r="E41" s="12" t="n">
        <v>200</v>
      </c>
      <c r="F41" s="57" t="n">
        <v>1.18</v>
      </c>
      <c r="G41" s="58" t="n">
        <v>236.2</v>
      </c>
      <c r="H41" s="58" t="n">
        <v>0</v>
      </c>
    </row>
    <row r="42" customFormat="false" ht="15" hidden="false" customHeight="false" outlineLevel="0" collapsed="false">
      <c r="B42" s="8" t="n">
        <v>37</v>
      </c>
      <c r="C42" s="51" t="s">
        <v>58</v>
      </c>
      <c r="D42" s="8" t="s">
        <v>81</v>
      </c>
      <c r="E42" s="9" t="n">
        <v>100</v>
      </c>
      <c r="F42" s="55" t="n">
        <v>1.18</v>
      </c>
      <c r="G42" s="56" t="n">
        <v>118.1</v>
      </c>
      <c r="H42" s="56" t="n">
        <v>0</v>
      </c>
    </row>
    <row r="43" customFormat="false" ht="15" hidden="false" customHeight="false" outlineLevel="0" collapsed="false">
      <c r="B43" s="11" t="n">
        <v>38</v>
      </c>
      <c r="C43" s="50" t="s">
        <v>58</v>
      </c>
      <c r="D43" s="11" t="s">
        <v>81</v>
      </c>
      <c r="E43" s="12" t="n">
        <v>200</v>
      </c>
      <c r="F43" s="57" t="n">
        <v>1.18</v>
      </c>
      <c r="G43" s="58" t="n">
        <v>237</v>
      </c>
      <c r="H43" s="58" t="n">
        <v>0</v>
      </c>
    </row>
    <row r="44" customFormat="false" ht="15" hidden="false" customHeight="false" outlineLevel="0" collapsed="false">
      <c r="B44" s="8" t="n">
        <v>39</v>
      </c>
      <c r="C44" s="51" t="s">
        <v>73</v>
      </c>
      <c r="D44" s="8" t="s">
        <v>81</v>
      </c>
      <c r="E44" s="9" t="n">
        <v>600</v>
      </c>
      <c r="F44" s="55" t="n">
        <v>1.18</v>
      </c>
      <c r="G44" s="56" t="n">
        <v>711.6</v>
      </c>
      <c r="H44" s="56" t="n">
        <v>0.1</v>
      </c>
    </row>
    <row r="46" customFormat="false" ht="21.75" hidden="false" customHeight="true" outlineLevel="0" collapsed="false">
      <c r="B46" s="52" t="s">
        <v>20</v>
      </c>
      <c r="C46" s="53"/>
      <c r="D46" s="53"/>
      <c r="E46" s="53"/>
      <c r="F46" s="59" t="n">
        <f aca="false">SUM(F6:F44)</f>
        <v>46.64</v>
      </c>
      <c r="G46" s="53"/>
      <c r="H46" s="59" t="n">
        <f aca="false">SUM(H6:H44)</f>
        <v>0.4</v>
      </c>
    </row>
  </sheetData>
  <mergeCells count="2">
    <mergeCell ref="B2:H2"/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2026-06-18T16:12:27Z</dcterms:created>
  <dc:creator>openpyxl</dc:creator>
  <dc:description/>
  <dc:language>en-US</dc:language>
  <cp:lastModifiedBy/>
  <dcterms:modified xsi:type="dcterms:W3CDTF">2026-06-18T16:15:17Z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